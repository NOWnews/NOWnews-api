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075" windowHeight="4455"/>
  </bookViews>
  <sheets>
    <sheet name="1224" sheetId="1" r:id="rId1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2" i="1"/>
</calcChain>
</file>

<file path=xl/sharedStrings.xml><?xml version="1.0" encoding="utf-8"?>
<sst xmlns="http://schemas.openxmlformats.org/spreadsheetml/2006/main" count="195" uniqueCount="195">
  <si>
    <t>連結</t>
    <phoneticPr fontId="1" type="noConversion"/>
  </si>
  <si>
    <t>新聞標題</t>
    <phoneticPr fontId="1" type="noConversion"/>
  </si>
  <si>
    <t>Pageview</t>
    <phoneticPr fontId="1" type="noConversion"/>
  </si>
  <si>
    <t>http://www.nownews.com/n/2015/01/05/1564473</t>
  </si>
  <si>
    <t>2015投資展望　復華：看好美股、REITs前景看俏</t>
    <phoneticPr fontId="1" type="noConversion"/>
  </si>
  <si>
    <t>http://www.nownews.com/n/2015/01/09/1569089</t>
  </si>
  <si>
    <t>http://www.nownews.com/n/2015/01/14/1575350</t>
  </si>
  <si>
    <t>http://www.nownews.com/n/2015/01/15/1575978</t>
  </si>
  <si>
    <t>http://www.nownews.com/n/2015/01/22/1583249</t>
  </si>
  <si>
    <t>http://www.nownews.com/n/2015/01/23/1584273</t>
  </si>
  <si>
    <t>http://www.nownews.com/n/2015/01/23/1584272</t>
  </si>
  <si>
    <t>http://www.nownews.com/n/2015/01/26/1586015</t>
  </si>
  <si>
    <t>http://www.nownews.com/n/2015/01/27/1587242</t>
  </si>
  <si>
    <t>http://www.nownews.com/n/2015/01/28/1588277</t>
  </si>
  <si>
    <t>http://www.nownews.com/n/2015/02/04/1594614</t>
  </si>
  <si>
    <t>http://www.nownews.com/n/2015/02/09/1601765</t>
  </si>
  <si>
    <t>http://www.nownews.com/n/2015/02/10/1596194</t>
  </si>
  <si>
    <t>http://www.nownews.com/n/2015/02/13/1607589</t>
  </si>
  <si>
    <t>http://www.nownews.com/n/2015/02/17/1611318</t>
  </si>
  <si>
    <t>http://www.nownews.com/n/2015/03/10/1626881</t>
  </si>
  <si>
    <t>http://www.nownews.com/n/2015/03/09/1626180</t>
  </si>
  <si>
    <t>http://www.nownews.com/n/2015/03/11/1628316</t>
  </si>
  <si>
    <t>http://www.nownews.com/n/2015/03/12/1629329</t>
  </si>
  <si>
    <t>陸股牛市再起　A股ETF成最大贏家</t>
    <phoneticPr fontId="1" type="noConversion"/>
  </si>
  <si>
    <t>低油價可能重演　歷史經驗：消費類股表現最佳</t>
    <phoneticPr fontId="1" type="noConversion"/>
  </si>
  <si>
    <t>不是全球首富　也能做世界房東</t>
    <phoneticPr fontId="1" type="noConversion"/>
  </si>
  <si>
    <t>改風水？求財位？轉運用對方法不辛苦！</t>
    <phoneticPr fontId="1" type="noConversion"/>
  </si>
  <si>
    <t>年終獎金老是花光光？小心卡在退休關！</t>
    <phoneticPr fontId="1" type="noConversion"/>
  </si>
  <si>
    <t>陸股多頭運勢仍旺　掌握趨勢轉強契機</t>
    <phoneticPr fontId="1" type="noConversion"/>
  </si>
  <si>
    <t>2015招好運　多資產組合型基金成新寵</t>
    <phoneticPr fontId="1" type="noConversion"/>
  </si>
  <si>
    <t>科技基金去年稱霸！投信：台股衝萬點　電子仍是布局重心</t>
    <phoneticPr fontId="1" type="noConversion"/>
  </si>
  <si>
    <t>復華：布局不動產復甦　全球型REITs更利high</t>
    <phoneticPr fontId="1" type="noConversion"/>
  </si>
  <si>
    <t>小錢投資享大戶服務！用對方法　守獲利也能控風險</t>
    <phoneticPr fontId="1" type="noConversion"/>
  </si>
  <si>
    <t>預約自己的年終獎金！投資反向思考　0手續費荷包更聰明</t>
    <phoneticPr fontId="1" type="noConversion"/>
  </si>
  <si>
    <t>貨幣大戰開打　低利率環境延長　REITs添利器</t>
    <phoneticPr fontId="1" type="noConversion"/>
  </si>
  <si>
    <t>台股羊年運勢續旺！挑戰萬點盛會　投資布局看這邊</t>
    <phoneticPr fontId="1" type="noConversion"/>
  </si>
  <si>
    <t>復華投信　連莊金鑚獎國內基金獎最大贏家</t>
    <phoneticPr fontId="1" type="noConversion"/>
  </si>
  <si>
    <t>復華投信　最佳股債投研團隊雙冠王</t>
    <phoneticPr fontId="1" type="noConversion"/>
  </si>
  <si>
    <t>http://www.nownews.com/n/2015/03/19/1643717</t>
  </si>
  <si>
    <t>http://www.nownews.com/n/2015/03/20/1644581</t>
  </si>
  <si>
    <t>http://www.nownews.com/n/2015/03/20/1644365</t>
  </si>
  <si>
    <t>復華數位經濟基金　叫好又叫座　15年奪15座獎</t>
    <phoneticPr fontId="1" type="noConversion"/>
  </si>
  <si>
    <t>復華奪6大獎　本土投信最大贏家</t>
    <phoneticPr fontId="1" type="noConversion"/>
  </si>
  <si>
    <t>萬點美夢　台股登亞洲吸金王　台股基金績效王領軍展規模</t>
    <phoneticPr fontId="1" type="noConversion"/>
  </si>
  <si>
    <t>http://www.nownews.com/n/2015/03/26/1649289</t>
  </si>
  <si>
    <t>http://www.nownews.com/n/2015/03/27/1652088</t>
  </si>
  <si>
    <t>好的開始是成功的一半！復華股債雙冠王　團隊操作金厲害</t>
    <phoneticPr fontId="1" type="noConversion"/>
  </si>
  <si>
    <t>管它美國升息快或慢，趁著REITs回檔先上車！</t>
    <phoneticPr fontId="1" type="noConversion"/>
  </si>
  <si>
    <t>http://www.nownews.com/n/2015/03/30/1654109</t>
  </si>
  <si>
    <t>http://www.nownews.com/n/2015/03/31/1654415</t>
  </si>
  <si>
    <t>http://www.nownews.com/n/2015/04/23/1675479</t>
  </si>
  <si>
    <t>http://www.nownews.com/n/2015/04/23/1675676</t>
  </si>
  <si>
    <t>25年的養老金從哪來？養兒防老已落伍　樂活退休靠自己</t>
    <phoneticPr fontId="1" type="noConversion"/>
  </si>
  <si>
    <t>東協正要富起來，跟著6億人一起成長！</t>
    <phoneticPr fontId="1" type="noConversion"/>
  </si>
  <si>
    <t>陸股多頭、港股噴發！大中華市場夯 建議分批進場布局</t>
    <phoneticPr fontId="1" type="noConversion"/>
  </si>
  <si>
    <t>聽見中國市場的好聲音，趁低布局佔便宜！</t>
    <phoneticPr fontId="1" type="noConversion"/>
  </si>
  <si>
    <t>http://www.nownews.com/n/2015/04/27/1678385</t>
  </si>
  <si>
    <t>http://www.nownews.com/n/2015/04/28/1678736</t>
  </si>
  <si>
    <t>http://www.nownews.com/n/2015/04/29/1679148</t>
  </si>
  <si>
    <t>http://www.nownews.com/n/2015/04/30/1679342</t>
  </si>
  <si>
    <t>看好台股，期待「滬台通」不如分批先卡位！</t>
    <phoneticPr fontId="1" type="noConversion"/>
  </si>
  <si>
    <t>陸股登7年來新高，參與猛牛行情有三寶！</t>
    <phoneticPr fontId="1" type="noConversion"/>
  </si>
  <si>
    <t>陸股還可以買嗎？中國官方動作會說話！</t>
    <phoneticPr fontId="1" type="noConversion"/>
  </si>
  <si>
    <t>陸股多頭投資人蠢動　復華：分批進場、均衡配置</t>
    <phoneticPr fontId="1" type="noConversion"/>
  </si>
  <si>
    <t>http://www.nownews.com/n/2015/05/05/1684309</t>
  </si>
  <si>
    <t>http://www.nownews.com/n/2015/05/06/1684323</t>
  </si>
  <si>
    <t>http://www.nownews.com/n/2015/05/07/1684372</t>
  </si>
  <si>
    <t>http://www.nownews.com/n/2015/05/07/1686855</t>
  </si>
  <si>
    <t>http://www.nownews.com/n/2015/05/12/1690030</t>
  </si>
  <si>
    <t>http://www.nownews.com/n/2015/05/14/1684704</t>
  </si>
  <si>
    <t>http://www.nownews.com/n/2015/05/18/1693931</t>
  </si>
  <si>
    <t>http://www.nownews.com/n/2015/05/19/1684720</t>
  </si>
  <si>
    <t>http://www.nownews.com/n/2015/05/21/1698692</t>
  </si>
  <si>
    <t>http://www.nownews.com/n/2015/05/25/1700026</t>
  </si>
  <si>
    <t>http://www.nownews.com/n/2015/05/25/1701653</t>
  </si>
  <si>
    <t>http://www.nownews.com/n/2015/05/27/1700046</t>
  </si>
  <si>
    <t>http://www.nownews.com/n/2015/06/04/1709642</t>
  </si>
  <si>
    <t>http://www.nownews.com/n/2015/06/09/1713917</t>
  </si>
  <si>
    <t>http://www.nownews.com/n/2015/06/10/1713925</t>
  </si>
  <si>
    <t>兩岸三地資金行情火熱　新一輪中國基金募集四箭齊發</t>
    <phoneticPr fontId="1" type="noConversion"/>
  </si>
  <si>
    <t>陸股雙利基撐腰　後市仍有可為</t>
    <phoneticPr fontId="1" type="noConversion"/>
  </si>
  <si>
    <t>陸股邁向經濟轉型與改革主升段　聚焦新經濟概念產業</t>
    <phoneticPr fontId="1" type="noConversion"/>
  </si>
  <si>
    <t>搶搭經濟轉型牛市多頭　復華：後市聚焦高附加價值經濟</t>
    <phoneticPr fontId="1" type="noConversion"/>
  </si>
  <si>
    <t>「丈母娘」撐腰　陸股基本面底子硬</t>
    <phoneticPr fontId="1" type="noConversion"/>
  </si>
  <si>
    <t>《中國不一樣》線上Buy家看過來，廠房輪船都能買！</t>
    <phoneticPr fontId="1" type="noConversion"/>
  </si>
  <si>
    <t>《中國不一樣》半個台灣大的城市，搭小黃也有商機？</t>
    <phoneticPr fontId="1" type="noConversion"/>
  </si>
  <si>
    <t>《中國不一樣》陸股怎麼買？挖黑金，找創新！</t>
    <phoneticPr fontId="1" type="noConversion"/>
  </si>
  <si>
    <t>新經濟概念股扮要角　復華：陸股仍有3-5年多頭可期</t>
    <phoneticPr fontId="1" type="noConversion"/>
  </si>
  <si>
    <t>新經濟概念躍居新藍籌　引領陸股牛市</t>
    <phoneticPr fontId="1" type="noConversion"/>
  </si>
  <si>
    <t>抓住中國新經濟契機　平衡基金股債通吃　富貴不用險中求</t>
    <phoneticPr fontId="1" type="noConversion"/>
  </si>
  <si>
    <t>大陸國企重組熱湧現　陸港兩市添新動能</t>
    <phoneticPr fontId="1" type="noConversion"/>
  </si>
  <si>
    <t>今年來新基金募集　中國主題比重逾半最吸金</t>
    <phoneticPr fontId="1" type="noConversion"/>
  </si>
  <si>
    <t>股債波動度加大　全球股債組合平衡基金納多元收益耐震</t>
    <phoneticPr fontId="1" type="noConversion"/>
  </si>
  <si>
    <t>等老闆加薪，不如先讓自己的錢「動」起來！</t>
    <phoneticPr fontId="1" type="noConversion"/>
  </si>
  <si>
    <t>http://www.nownews.com/n/2015/06/16/1716132</t>
  </si>
  <si>
    <t>http://www.nownews.com/n/2015/06/17/1719168</t>
  </si>
  <si>
    <t>http://www.nownews.com/n/2015/06/23/1719181</t>
  </si>
  <si>
    <t>http://www.nownews.com/n/2015/06/24/1727346</t>
  </si>
  <si>
    <t>http://www.nownews.com/n/2015/06/25/1719186</t>
  </si>
  <si>
    <t>http://www.nownews.com/n/2015/06/30/1732206</t>
  </si>
  <si>
    <t>http://www.nownews.com/n/2015/07/03/1737234</t>
  </si>
  <si>
    <t>http://www.nownews.com/n/2015/07/08/1742159</t>
  </si>
  <si>
    <t>http://www.nownews.com/n/2015/07/09/1742986</t>
  </si>
  <si>
    <t>小黃新商機、傳統裝修業大翻身　中國新經濟概念股正夯</t>
    <phoneticPr fontId="1" type="noConversion"/>
  </si>
  <si>
    <t>順風衝浪買陸股，沒跟上風險更大？</t>
    <phoneticPr fontId="1" type="noConversion"/>
  </si>
  <si>
    <t>第三季債市展望(一)：在美國正式升息前，市場偏向震盪</t>
    <phoneticPr fontId="1" type="noConversion"/>
  </si>
  <si>
    <t>境內基金規模攀金融海嘯前次高　中國及多資產配置最吸金</t>
    <phoneticPr fontId="1" type="noConversion"/>
  </si>
  <si>
    <t>第三季債市展望(二)：相對看好政策利多支持的人民幣債</t>
    <phoneticPr fontId="1" type="noConversion"/>
  </si>
  <si>
    <t>定時定額兩大訣竅　自動停利、逢低加碼缺一不可</t>
    <phoneticPr fontId="1" type="noConversion"/>
  </si>
  <si>
    <t>希臘公投對信用債市影響有限，短線拉回是買點！</t>
    <phoneticPr fontId="1" type="noConversion"/>
  </si>
  <si>
    <t>人民幣債券抗跌成新興債市明燈，第三季債市布局亮點</t>
    <phoneticPr fontId="1" type="noConversion"/>
  </si>
  <si>
    <t>30歲月領30K？掌握正確投資觀念　自我加薪非夢事</t>
    <phoneticPr fontId="1" type="noConversion"/>
  </si>
  <si>
    <t>http://www.nownews.com/n/2015/07/16/1750185</t>
  </si>
  <si>
    <t>http://www.nownews.com/n/2015/07/22/1755800</t>
  </si>
  <si>
    <t>http://www.nownews.com/n/2015/08/05/1771133</t>
  </si>
  <si>
    <t>http://www.nownews.com/n/2015/08/07/1773596</t>
  </si>
  <si>
    <t>http://www.nownews.com/n/2015/08/12/1779245</t>
  </si>
  <si>
    <t>http://www.nownews.com/n/2015/08/24/1792516</t>
  </si>
  <si>
    <t>http://www.nownews.com/n/2015/08/12/1778987</t>
  </si>
  <si>
    <t>http://www.nownews.com/n/2015/08/19/1786949</t>
  </si>
  <si>
    <t>無畏股市震盪人民幣匯率持穩　人民幣貨幣型基金逆勢抗跌</t>
    <phoneticPr fontId="1" type="noConversion"/>
  </si>
  <si>
    <t>6月境內基金規模失血逾百億　多資產配置逆成長</t>
    <phoneticPr fontId="1" type="noConversion"/>
  </si>
  <si>
    <t>油價易跌難漲「薪」情佳、旺季加持　全球消費類股續看多</t>
    <phoneticPr fontId="1" type="noConversion"/>
  </si>
  <si>
    <t>再也不會無「竿」可用！簡單工具讓你存摺數字撐竿跳</t>
    <phoneticPr fontId="1" type="noConversion"/>
  </si>
  <si>
    <t>「逆風」起飛　布局台股等待反彈</t>
    <phoneticPr fontId="1" type="noConversion"/>
  </si>
  <si>
    <t>不畏市場震盪，取得96%勝率的投資密碼！</t>
    <phoneticPr fontId="1" type="noConversion"/>
  </si>
  <si>
    <t>拒絕財富希臘化，用對方法讓資金生生不息！</t>
    <phoneticPr fontId="1" type="noConversion"/>
  </si>
  <si>
    <t>景氣衰退也能逆流而上！三步驟讓你省小錢又滾大錢</t>
    <phoneticPr fontId="1" type="noConversion"/>
  </si>
  <si>
    <t>http://www.nownews.com/n/2015/08/27/1794398</t>
  </si>
  <si>
    <t>http://www.nownews.com/n/2015/09/01/1800698</t>
  </si>
  <si>
    <t>http://www.nownews.com/n/2015/09/03/1802796</t>
  </si>
  <si>
    <t>http://www.nownews.com/n/2015/09/04/1802809</t>
  </si>
  <si>
    <t>http://www.nownews.com/n/2015/09/08/1806166</t>
  </si>
  <si>
    <t>http://www.nownews.com/n/2015/09/21/1820541</t>
  </si>
  <si>
    <t>http://www.nownews.com/n/2015/10/06/1835285</t>
  </si>
  <si>
    <t>http://www.nownews.com/n/2015/10/08/1837827</t>
  </si>
  <si>
    <t>http://www.nownews.com/n/2015/10/12/1841634</t>
  </si>
  <si>
    <t>http://www.nownews.com/n/2015/10/15/1845061</t>
  </si>
  <si>
    <t>拒當低薪族晉升勝利組　先掌握勝率96%的投資法</t>
    <phoneticPr fontId="1" type="noConversion"/>
  </si>
  <si>
    <t>8月股災固定收益基金逆勢抗跌　經理人趨保守棄股轉債</t>
    <phoneticPr fontId="1" type="noConversion"/>
  </si>
  <si>
    <t>台股跌到谷底了沒？勝出熊市的決戰攻略</t>
    <phoneticPr fontId="1" type="noConversion"/>
  </si>
  <si>
    <t>投資沒有一路順風　金複合為你「破風」！</t>
    <phoneticPr fontId="1" type="noConversion"/>
  </si>
  <si>
    <t>股市震盪血壓飆　擊退投資焦慮　先掌握96%勝率袐訣</t>
    <phoneticPr fontId="1" type="noConversion"/>
  </si>
  <si>
    <t>我的「賺錢」時代　及早規劃解決你的老化煩惱</t>
    <phoneticPr fontId="1" type="noConversion"/>
  </si>
  <si>
    <t>第4季基金投資趨勢：母子複合投資術 富貴穩中求</t>
    <phoneticPr fontId="1" type="noConversion"/>
  </si>
  <si>
    <t>想財富增值就是要投資　不然咧？1筆資金創造雙倍效率</t>
    <phoneticPr fontId="1" type="noConversion"/>
  </si>
  <si>
    <t>全球股市第三季慘摔　REITs獨紅</t>
    <phoneticPr fontId="1" type="noConversion"/>
  </si>
  <si>
    <t>恐慌氣氛大降資金回流新興市場　台股基金波段反彈衝第一</t>
    <phoneticPr fontId="1" type="noConversion"/>
  </si>
  <si>
    <t>http://www.nownews.com/n/2015/10/29/1862051</t>
  </si>
  <si>
    <t>http://www.nownews.com/n/2015/10/30/1862081</t>
  </si>
  <si>
    <t>http://www.nownews.com/n/2015/10/30/1862648</t>
  </si>
  <si>
    <t>http://www.nownews.com/n/2015/11/04/1868556</t>
  </si>
  <si>
    <t>http://www.nownews.com/n/2015/11/05/1867251</t>
  </si>
  <si>
    <t>「星」事誰人知？　4個投資標的一看就懂</t>
    <phoneticPr fontId="1" type="noConversion"/>
  </si>
  <si>
    <t>幫米老鼠賺錢，不如自己也來投資</t>
    <phoneticPr fontId="1" type="noConversion"/>
  </si>
  <si>
    <t>三十而立婚不婚？先成家還是先立業　首先你要有點錢</t>
    <phoneticPr fontId="1" type="noConversion"/>
  </si>
  <si>
    <t>買基金還是股票？先問自己心臟夠不夠強！</t>
    <phoneticPr fontId="1" type="noConversion"/>
  </si>
  <si>
    <t>投資高手，從木蘭從軍學到的1件事！</t>
    <phoneticPr fontId="1" type="noConversion"/>
  </si>
  <si>
    <t>台股科技基金稱霸2014　今年選誰才不會再錯過？</t>
    <phoneticPr fontId="1" type="noConversion"/>
  </si>
  <si>
    <t>高股利率吸金　全球REITs開春報喜</t>
    <phoneticPr fontId="1" type="noConversion"/>
  </si>
  <si>
    <t>復華操盤成績讚　再登雙冠王</t>
    <phoneticPr fontId="1" type="noConversion"/>
  </si>
  <si>
    <t>http://www.nownews.com/n/2015/11/12/1880273</t>
  </si>
  <si>
    <t>理你一生之財　理財的三堂必修課</t>
    <phoneticPr fontId="1" type="noConversion"/>
  </si>
  <si>
    <t>http://www.nownews.com/n/2015/11/26/1892946</t>
  </si>
  <si>
    <t>http://www.nownews.com/n/2015/11/27/1898992</t>
  </si>
  <si>
    <t>http://www.nownews.com/n/2015/11/28/1899937</t>
  </si>
  <si>
    <t>http://www.nownews.com/n/2015/12/03/1906831</t>
  </si>
  <si>
    <t>http://www.nownews.com/n/2015/12/01/1902215</t>
  </si>
  <si>
    <t>http://www.nownews.com/n/2015/12/21/1929279</t>
  </si>
  <si>
    <t>http://www.nownews.com/n/2015/12/21/1929175</t>
  </si>
  <si>
    <t>http://www.nownews.com/n/2015/12/22/1930448</t>
  </si>
  <si>
    <t>http://www.nownews.com/n/2015/12/23/1929215</t>
  </si>
  <si>
    <t>不用羨慕《高年級實習生》　及早規畫追求新好生活</t>
    <phoneticPr fontId="1" type="noConversion"/>
  </si>
  <si>
    <t>您跟定時定額八字不合？</t>
    <phoneticPr fontId="1" type="noConversion"/>
  </si>
  <si>
    <t>輸了絕對金額，贏了報酬率又如何？</t>
    <phoneticPr fontId="1" type="noConversion"/>
  </si>
  <si>
    <t>搶救告急！保1防衛戰　靠自己保住一線生機</t>
    <phoneticPr fontId="1" type="noConversion"/>
  </si>
  <si>
    <t>學會「絕地救援」的三件事　理財之路不怕餓死</t>
    <phoneticPr fontId="1" type="noConversion"/>
  </si>
  <si>
    <t>全球股市翻黑　全球股票型基金選股不選市　績效規模成長</t>
    <phoneticPr fontId="1" type="noConversion"/>
  </si>
  <si>
    <t>吃個飯也要斤斤計較？！建立抗漲好習慣　天天都有加菜金</t>
    <phoneticPr fontId="1" type="noConversion"/>
  </si>
  <si>
    <t>美升息確立港股強彈　復華香港ETF傘型基金1月初開募</t>
    <phoneticPr fontId="1" type="noConversion"/>
  </si>
  <si>
    <t>年終獎金留不住？聰明投資守本又有利　用小錢開整年財運</t>
    <phoneticPr fontId="1" type="noConversion"/>
  </si>
  <si>
    <t>收錄家數</t>
    <phoneticPr fontId="1" type="noConversion"/>
  </si>
  <si>
    <t>NOWnews</t>
    <phoneticPr fontId="1" type="noConversion"/>
  </si>
  <si>
    <t>Yahoo</t>
    <phoneticPr fontId="1" type="noConversion"/>
  </si>
  <si>
    <t>Yahoo理財</t>
    <phoneticPr fontId="1" type="noConversion"/>
  </si>
  <si>
    <t>MSN</t>
    <phoneticPr fontId="1" type="noConversion"/>
  </si>
  <si>
    <t>YAM</t>
    <phoneticPr fontId="1" type="noConversion"/>
  </si>
  <si>
    <t>YAM財金</t>
    <phoneticPr fontId="1" type="noConversion"/>
  </si>
  <si>
    <t>Sina</t>
    <phoneticPr fontId="1" type="noConversion"/>
  </si>
  <si>
    <t>Hinet</t>
    <phoneticPr fontId="1" type="noConversion"/>
  </si>
  <si>
    <t>CTS</t>
    <phoneticPr fontId="1" type="noConversion"/>
  </si>
  <si>
    <t>Match</t>
    <phoneticPr fontId="1" type="noConversion"/>
  </si>
  <si>
    <t>Life</t>
    <phoneticPr fontId="1" type="noConversion"/>
  </si>
  <si>
    <t>鉅亨網</t>
    <phoneticPr fontId="1" type="noConversion"/>
  </si>
  <si>
    <t>Hami+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</si>
</sst>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theme="1"/>
      <name val="微軟正黑體"/>
      <family val="2"/>
      <charset val="136"/>
    </font>
    <font>
      <b/>
      <sz val="9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rgb="FFB38DBE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ownews.com/n/2015/05/19/1684720" TargetMode="External"/><Relationship Id="rId13" Type="http://schemas.openxmlformats.org/officeDocument/2006/relationships/hyperlink" Target="http://www.nownews.com/n/2015/06/04/1709642" TargetMode="External"/><Relationship Id="rId3" Type="http://schemas.openxmlformats.org/officeDocument/2006/relationships/hyperlink" Target="http://www.nownews.com/n/2015/05/07/1684372" TargetMode="External"/><Relationship Id="rId7" Type="http://schemas.openxmlformats.org/officeDocument/2006/relationships/hyperlink" Target="http://www.nownews.com/n/2015/05/18/1693931" TargetMode="External"/><Relationship Id="rId12" Type="http://schemas.openxmlformats.org/officeDocument/2006/relationships/hyperlink" Target="http://www.nownews.com/n/2015/05/27/1700046" TargetMode="External"/><Relationship Id="rId2" Type="http://schemas.openxmlformats.org/officeDocument/2006/relationships/hyperlink" Target="http://www.nownews.com/n/2015/05/06/1684323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nownews.com/n/2015/05/05/1684309" TargetMode="External"/><Relationship Id="rId6" Type="http://schemas.openxmlformats.org/officeDocument/2006/relationships/hyperlink" Target="http://www.nownews.com/n/2015/05/14/1684704" TargetMode="External"/><Relationship Id="rId11" Type="http://schemas.openxmlformats.org/officeDocument/2006/relationships/hyperlink" Target="http://www.nownews.com/n/2015/05/25/1701653" TargetMode="External"/><Relationship Id="rId5" Type="http://schemas.openxmlformats.org/officeDocument/2006/relationships/hyperlink" Target="http://www.nownews.com/n/2015/05/12/1690030" TargetMode="External"/><Relationship Id="rId15" Type="http://schemas.openxmlformats.org/officeDocument/2006/relationships/hyperlink" Target="http://www.nownews.com/n/2015/06/10/1713925" TargetMode="External"/><Relationship Id="rId10" Type="http://schemas.openxmlformats.org/officeDocument/2006/relationships/hyperlink" Target="http://www.nownews.com/n/2015/05/25/1700026" TargetMode="External"/><Relationship Id="rId4" Type="http://schemas.openxmlformats.org/officeDocument/2006/relationships/hyperlink" Target="http://www.nownews.com/n/2015/05/07/1686855" TargetMode="External"/><Relationship Id="rId9" Type="http://schemas.openxmlformats.org/officeDocument/2006/relationships/hyperlink" Target="http://www.nownews.com/n/2015/05/21/1698692" TargetMode="External"/><Relationship Id="rId14" Type="http://schemas.openxmlformats.org/officeDocument/2006/relationships/hyperlink" Target="http://www.nownews.com/n/2015/06/09/1713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tabSelected="1" zoomScale="85" zoomScaleNormal="85" workbookViewId="0">
      <pane xSplit="4" ySplit="1" topLeftCell="E2" activePane="bottomRight" state="frozenSplit"/>
      <selection pane="topRight" activeCell="G1" sqref="G1"/>
      <selection pane="bottomLeft" activeCell="A26" sqref="A26"/>
      <selection pane="bottomRight"/>
    </sheetView>
  </sheetViews>
  <sheetFormatPr defaultRowHeight="12.75" x14ac:dyDescent="0.25"/>
  <cols>
    <col min="1" max="1" width="36.25" style="1" customWidth="1"/>
    <col min="2" max="2" width="25" style="1" customWidth="1"/>
    <col min="3" max="4" width="9" style="1"/>
    <col min="5" max="17" width="8.625" style="1" customWidth="1"/>
    <col min="18" max="16384" width="9" style="1"/>
  </cols>
  <sheetData>
    <row r="1" spans="1:17" x14ac:dyDescent="0.25">
      <c r="A1" s="1" t="s">
        <v>1</v>
      </c>
      <c r="B1" s="1" t="s">
        <v>0</v>
      </c>
      <c r="C1" s="1" t="s">
        <v>2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</row>
    <row r="2" spans="1:17" x14ac:dyDescent="0.25">
      <c r="A2" s="4" t="s">
        <v>4</v>
      </c>
      <c r="B2" s="1" t="s">
        <v>3</v>
      </c>
      <c r="C2" s="3">
        <v>32914</v>
      </c>
      <c r="D2" s="5">
        <f>SUM(E2:R2)</f>
        <v>10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L2" s="1">
        <v>1</v>
      </c>
      <c r="M2" s="1">
        <v>1</v>
      </c>
      <c r="N2" s="1">
        <v>1</v>
      </c>
      <c r="O2" s="1">
        <v>1</v>
      </c>
      <c r="Q2" s="1">
        <v>1</v>
      </c>
    </row>
    <row r="3" spans="1:17" x14ac:dyDescent="0.25">
      <c r="A3" s="2" t="s">
        <v>23</v>
      </c>
      <c r="B3" s="1" t="s">
        <v>5</v>
      </c>
      <c r="C3" s="3">
        <v>19683</v>
      </c>
      <c r="D3" s="1">
        <f t="shared" ref="D3:D66" si="0">SUM(E3:R3)</f>
        <v>1</v>
      </c>
      <c r="E3" s="1">
        <v>1</v>
      </c>
    </row>
    <row r="4" spans="1:17" x14ac:dyDescent="0.25">
      <c r="A4" s="2" t="s">
        <v>24</v>
      </c>
      <c r="B4" s="1" t="s">
        <v>6</v>
      </c>
      <c r="C4" s="3">
        <v>16561</v>
      </c>
      <c r="D4" s="1">
        <f t="shared" si="0"/>
        <v>1</v>
      </c>
      <c r="E4" s="1">
        <v>1</v>
      </c>
    </row>
    <row r="5" spans="1:17" x14ac:dyDescent="0.25">
      <c r="A5" s="2" t="s">
        <v>25</v>
      </c>
      <c r="B5" s="1" t="s">
        <v>7</v>
      </c>
      <c r="C5" s="3">
        <v>19750</v>
      </c>
      <c r="D5" s="1">
        <f t="shared" si="0"/>
        <v>1</v>
      </c>
      <c r="E5" s="1">
        <v>1</v>
      </c>
    </row>
    <row r="6" spans="1:17" x14ac:dyDescent="0.25">
      <c r="A6" s="2" t="s">
        <v>26</v>
      </c>
      <c r="B6" s="1" t="s">
        <v>8</v>
      </c>
      <c r="C6" s="3">
        <v>14537</v>
      </c>
      <c r="D6" s="1">
        <f t="shared" si="0"/>
        <v>1</v>
      </c>
      <c r="E6" s="1">
        <v>1</v>
      </c>
    </row>
    <row r="7" spans="1:17" x14ac:dyDescent="0.25">
      <c r="A7" s="2" t="s">
        <v>158</v>
      </c>
      <c r="B7" s="1" t="s">
        <v>9</v>
      </c>
      <c r="C7" s="3">
        <v>14126</v>
      </c>
      <c r="D7" s="1">
        <f t="shared" si="0"/>
        <v>1</v>
      </c>
      <c r="E7" s="1">
        <v>1</v>
      </c>
    </row>
    <row r="8" spans="1:17" x14ac:dyDescent="0.25">
      <c r="A8" s="2" t="s">
        <v>27</v>
      </c>
      <c r="B8" s="1" t="s">
        <v>10</v>
      </c>
      <c r="C8" s="3">
        <v>16077</v>
      </c>
      <c r="D8" s="1">
        <f t="shared" si="0"/>
        <v>1</v>
      </c>
      <c r="E8" s="1">
        <v>1</v>
      </c>
    </row>
    <row r="9" spans="1:17" x14ac:dyDescent="0.25">
      <c r="A9" s="2" t="s">
        <v>28</v>
      </c>
      <c r="B9" s="1" t="s">
        <v>11</v>
      </c>
      <c r="C9" s="3">
        <v>16030</v>
      </c>
      <c r="D9" s="1">
        <f t="shared" si="0"/>
        <v>1</v>
      </c>
      <c r="E9" s="1">
        <v>1</v>
      </c>
    </row>
    <row r="10" spans="1:17" x14ac:dyDescent="0.25">
      <c r="A10" s="2" t="s">
        <v>159</v>
      </c>
      <c r="B10" s="1" t="s">
        <v>12</v>
      </c>
      <c r="C10" s="3">
        <v>11328</v>
      </c>
      <c r="D10" s="1">
        <f t="shared" si="0"/>
        <v>1</v>
      </c>
      <c r="E10" s="1">
        <v>1</v>
      </c>
    </row>
    <row r="11" spans="1:17" x14ac:dyDescent="0.25">
      <c r="A11" s="2" t="s">
        <v>29</v>
      </c>
      <c r="B11" s="1" t="s">
        <v>13</v>
      </c>
      <c r="C11" s="3">
        <v>10788</v>
      </c>
      <c r="D11" s="1">
        <f t="shared" si="0"/>
        <v>1</v>
      </c>
      <c r="E11" s="1">
        <v>1</v>
      </c>
    </row>
    <row r="12" spans="1:17" x14ac:dyDescent="0.25">
      <c r="A12" s="4" t="s">
        <v>30</v>
      </c>
      <c r="B12" s="1" t="s">
        <v>14</v>
      </c>
      <c r="C12" s="3">
        <v>39375</v>
      </c>
      <c r="D12" s="5">
        <f t="shared" si="0"/>
        <v>9</v>
      </c>
      <c r="E12" s="1">
        <v>1</v>
      </c>
      <c r="F12" s="1">
        <v>1</v>
      </c>
      <c r="H12" s="1">
        <v>1</v>
      </c>
      <c r="I12" s="1">
        <v>1</v>
      </c>
      <c r="K12" s="1">
        <v>1</v>
      </c>
      <c r="L12" s="1">
        <v>1</v>
      </c>
      <c r="M12" s="1">
        <v>1</v>
      </c>
      <c r="N12" s="1">
        <v>1</v>
      </c>
      <c r="Q12" s="1">
        <v>1</v>
      </c>
    </row>
    <row r="13" spans="1:17" x14ac:dyDescent="0.25">
      <c r="A13" s="2" t="s">
        <v>31</v>
      </c>
      <c r="B13" s="1" t="s">
        <v>15</v>
      </c>
      <c r="C13" s="3">
        <v>16379</v>
      </c>
      <c r="D13" s="1">
        <f t="shared" si="0"/>
        <v>1</v>
      </c>
      <c r="E13" s="1">
        <v>1</v>
      </c>
    </row>
    <row r="14" spans="1:17" x14ac:dyDescent="0.25">
      <c r="A14" s="4" t="s">
        <v>32</v>
      </c>
      <c r="B14" s="1" t="s">
        <v>16</v>
      </c>
      <c r="C14" s="3">
        <v>38759</v>
      </c>
      <c r="D14" s="5">
        <f t="shared" si="0"/>
        <v>9</v>
      </c>
      <c r="E14" s="1">
        <v>1</v>
      </c>
      <c r="F14" s="1">
        <v>1</v>
      </c>
      <c r="H14" s="1">
        <v>1</v>
      </c>
      <c r="I14" s="1">
        <v>1</v>
      </c>
      <c r="K14" s="1">
        <v>1</v>
      </c>
      <c r="L14" s="1">
        <v>1</v>
      </c>
      <c r="M14" s="1">
        <v>1</v>
      </c>
      <c r="N14" s="1">
        <v>1</v>
      </c>
      <c r="Q14" s="1">
        <v>1</v>
      </c>
    </row>
    <row r="15" spans="1:17" x14ac:dyDescent="0.25">
      <c r="A15" s="4" t="s">
        <v>33</v>
      </c>
      <c r="B15" s="1" t="s">
        <v>17</v>
      </c>
      <c r="C15" s="3">
        <v>34517</v>
      </c>
      <c r="D15" s="5">
        <f t="shared" si="0"/>
        <v>8</v>
      </c>
      <c r="E15" s="1">
        <v>1</v>
      </c>
      <c r="F15" s="1">
        <v>1</v>
      </c>
      <c r="I15" s="1">
        <v>1</v>
      </c>
      <c r="K15" s="1">
        <v>1</v>
      </c>
      <c r="L15" s="1">
        <v>1</v>
      </c>
      <c r="M15" s="1">
        <v>1</v>
      </c>
      <c r="N15" s="1">
        <v>1</v>
      </c>
      <c r="Q15" s="1">
        <v>1</v>
      </c>
    </row>
    <row r="16" spans="1:17" x14ac:dyDescent="0.25">
      <c r="A16" s="2" t="s">
        <v>34</v>
      </c>
      <c r="B16" s="1" t="s">
        <v>18</v>
      </c>
      <c r="C16" s="3">
        <v>17699</v>
      </c>
      <c r="D16" s="1">
        <f t="shared" si="0"/>
        <v>1</v>
      </c>
      <c r="E16" s="1">
        <v>1</v>
      </c>
    </row>
    <row r="17" spans="1:17" x14ac:dyDescent="0.25">
      <c r="A17" s="2" t="s">
        <v>160</v>
      </c>
      <c r="B17" s="1" t="s">
        <v>20</v>
      </c>
      <c r="C17" s="3">
        <v>22427</v>
      </c>
      <c r="D17" s="1">
        <f t="shared" si="0"/>
        <v>1</v>
      </c>
      <c r="E17" s="1">
        <v>1</v>
      </c>
    </row>
    <row r="18" spans="1:17" x14ac:dyDescent="0.25">
      <c r="A18" s="4" t="s">
        <v>35</v>
      </c>
      <c r="B18" s="1" t="s">
        <v>19</v>
      </c>
      <c r="C18" s="3">
        <v>42787</v>
      </c>
      <c r="D18" s="5">
        <f t="shared" si="0"/>
        <v>9</v>
      </c>
      <c r="E18" s="1">
        <v>1</v>
      </c>
      <c r="F18" s="1">
        <v>1</v>
      </c>
      <c r="H18" s="1">
        <v>1</v>
      </c>
      <c r="I18" s="1">
        <v>1</v>
      </c>
      <c r="K18" s="1">
        <v>1</v>
      </c>
      <c r="L18" s="1">
        <v>1</v>
      </c>
      <c r="M18" s="1">
        <v>1</v>
      </c>
      <c r="N18" s="1">
        <v>1</v>
      </c>
      <c r="Q18" s="1">
        <v>1</v>
      </c>
    </row>
    <row r="19" spans="1:17" x14ac:dyDescent="0.25">
      <c r="A19" s="2" t="s">
        <v>36</v>
      </c>
      <c r="B19" s="1" t="s">
        <v>21</v>
      </c>
      <c r="C19" s="3">
        <v>25032</v>
      </c>
      <c r="D19" s="1">
        <f t="shared" si="0"/>
        <v>1</v>
      </c>
      <c r="E19" s="1">
        <v>1</v>
      </c>
    </row>
    <row r="20" spans="1:17" x14ac:dyDescent="0.25">
      <c r="A20" s="2" t="s">
        <v>37</v>
      </c>
      <c r="B20" s="1" t="s">
        <v>22</v>
      </c>
      <c r="C20" s="3">
        <v>19047</v>
      </c>
      <c r="D20" s="1">
        <f t="shared" si="0"/>
        <v>1</v>
      </c>
      <c r="E20" s="1">
        <v>1</v>
      </c>
    </row>
    <row r="21" spans="1:17" x14ac:dyDescent="0.25">
      <c r="A21" s="2" t="s">
        <v>41</v>
      </c>
      <c r="B21" s="1" t="s">
        <v>38</v>
      </c>
      <c r="C21" s="3">
        <v>21744</v>
      </c>
      <c r="D21" s="1">
        <f t="shared" si="0"/>
        <v>1</v>
      </c>
      <c r="E21" s="1">
        <v>1</v>
      </c>
    </row>
    <row r="22" spans="1:17" x14ac:dyDescent="0.25">
      <c r="A22" s="4" t="s">
        <v>42</v>
      </c>
      <c r="B22" s="1" t="s">
        <v>39</v>
      </c>
      <c r="C22" s="3">
        <v>44785</v>
      </c>
      <c r="D22" s="5">
        <f t="shared" si="0"/>
        <v>10</v>
      </c>
      <c r="E22" s="1">
        <v>1</v>
      </c>
      <c r="F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Q22" s="1">
        <v>1</v>
      </c>
    </row>
    <row r="23" spans="1:17" x14ac:dyDescent="0.25">
      <c r="A23" s="4" t="s">
        <v>43</v>
      </c>
      <c r="B23" s="1" t="s">
        <v>40</v>
      </c>
      <c r="C23" s="3">
        <v>41765</v>
      </c>
      <c r="D23" s="5">
        <f t="shared" si="0"/>
        <v>10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K23" s="1">
        <v>1</v>
      </c>
      <c r="L23" s="1">
        <v>1</v>
      </c>
      <c r="M23" s="1">
        <v>1</v>
      </c>
      <c r="N23" s="1">
        <v>1</v>
      </c>
      <c r="Q23" s="1">
        <v>1</v>
      </c>
    </row>
    <row r="24" spans="1:17" x14ac:dyDescent="0.25">
      <c r="A24" s="4" t="s">
        <v>46</v>
      </c>
      <c r="B24" s="1" t="s">
        <v>44</v>
      </c>
      <c r="C24" s="3">
        <v>38074</v>
      </c>
      <c r="D24" s="5">
        <f t="shared" si="0"/>
        <v>8</v>
      </c>
      <c r="E24" s="1">
        <v>1</v>
      </c>
      <c r="F24" s="1">
        <v>1</v>
      </c>
      <c r="I24" s="1">
        <v>1</v>
      </c>
      <c r="K24" s="1">
        <v>1</v>
      </c>
      <c r="L24" s="1">
        <v>1</v>
      </c>
      <c r="M24" s="1">
        <v>1</v>
      </c>
      <c r="N24" s="1">
        <v>1</v>
      </c>
      <c r="Q24" s="1">
        <v>1</v>
      </c>
    </row>
    <row r="25" spans="1:17" x14ac:dyDescent="0.25">
      <c r="A25" s="2" t="s">
        <v>47</v>
      </c>
      <c r="B25" s="1" t="s">
        <v>45</v>
      </c>
      <c r="C25" s="3">
        <v>19547</v>
      </c>
      <c r="D25" s="1">
        <f t="shared" si="0"/>
        <v>1</v>
      </c>
      <c r="E25" s="1">
        <v>1</v>
      </c>
    </row>
    <row r="26" spans="1:17" x14ac:dyDescent="0.25">
      <c r="A26" s="2" t="s">
        <v>55</v>
      </c>
      <c r="B26" s="1" t="s">
        <v>48</v>
      </c>
      <c r="C26" s="3">
        <v>13834</v>
      </c>
      <c r="D26" s="1">
        <f t="shared" si="0"/>
        <v>1</v>
      </c>
      <c r="E26" s="1">
        <v>1</v>
      </c>
    </row>
    <row r="27" spans="1:17" x14ac:dyDescent="0.25">
      <c r="A27" s="4" t="s">
        <v>52</v>
      </c>
      <c r="B27" s="1" t="s">
        <v>49</v>
      </c>
      <c r="C27" s="3">
        <v>35958</v>
      </c>
      <c r="D27" s="5">
        <f t="shared" si="0"/>
        <v>11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Q27" s="1">
        <v>1</v>
      </c>
    </row>
    <row r="28" spans="1:17" x14ac:dyDescent="0.25">
      <c r="A28" s="2" t="s">
        <v>53</v>
      </c>
      <c r="B28" s="1" t="s">
        <v>50</v>
      </c>
      <c r="C28" s="3">
        <v>16310</v>
      </c>
      <c r="D28" s="1">
        <f t="shared" si="0"/>
        <v>1</v>
      </c>
      <c r="E28" s="1">
        <v>1</v>
      </c>
    </row>
    <row r="29" spans="1:17" x14ac:dyDescent="0.25">
      <c r="A29" s="4" t="s">
        <v>54</v>
      </c>
      <c r="B29" s="1" t="s">
        <v>51</v>
      </c>
      <c r="C29" s="3">
        <v>32693</v>
      </c>
      <c r="D29" s="5">
        <f t="shared" si="0"/>
        <v>11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Q29" s="1">
        <v>1</v>
      </c>
    </row>
    <row r="30" spans="1:17" x14ac:dyDescent="0.25">
      <c r="A30" s="2" t="s">
        <v>60</v>
      </c>
      <c r="B30" s="1" t="s">
        <v>56</v>
      </c>
      <c r="C30" s="3">
        <v>12562</v>
      </c>
      <c r="D30" s="1">
        <f t="shared" si="0"/>
        <v>1</v>
      </c>
      <c r="E30" s="1">
        <v>1</v>
      </c>
    </row>
    <row r="31" spans="1:17" x14ac:dyDescent="0.25">
      <c r="A31" s="2" t="s">
        <v>61</v>
      </c>
      <c r="B31" s="1" t="s">
        <v>57</v>
      </c>
      <c r="C31" s="3">
        <v>14950</v>
      </c>
      <c r="D31" s="1">
        <f t="shared" si="0"/>
        <v>1</v>
      </c>
      <c r="E31" s="1">
        <v>1</v>
      </c>
    </row>
    <row r="32" spans="1:17" x14ac:dyDescent="0.25">
      <c r="A32" s="2" t="s">
        <v>62</v>
      </c>
      <c r="B32" s="1" t="s">
        <v>58</v>
      </c>
      <c r="C32" s="3">
        <v>11605</v>
      </c>
      <c r="D32" s="1">
        <f t="shared" si="0"/>
        <v>1</v>
      </c>
      <c r="E32" s="1">
        <v>1</v>
      </c>
    </row>
    <row r="33" spans="1:17" x14ac:dyDescent="0.25">
      <c r="A33" s="4" t="s">
        <v>63</v>
      </c>
      <c r="B33" s="1" t="s">
        <v>59</v>
      </c>
      <c r="C33" s="3">
        <v>32967</v>
      </c>
      <c r="D33" s="5">
        <f t="shared" si="0"/>
        <v>11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Q33" s="1">
        <v>1</v>
      </c>
    </row>
    <row r="34" spans="1:17" x14ac:dyDescent="0.25">
      <c r="A34" s="2" t="s">
        <v>79</v>
      </c>
      <c r="B34" s="1" t="s">
        <v>64</v>
      </c>
      <c r="C34" s="3">
        <v>11515</v>
      </c>
      <c r="D34" s="1">
        <f t="shared" si="0"/>
        <v>1</v>
      </c>
      <c r="E34" s="1">
        <v>1</v>
      </c>
    </row>
    <row r="35" spans="1:17" x14ac:dyDescent="0.25">
      <c r="A35" s="2" t="s">
        <v>80</v>
      </c>
      <c r="B35" s="1" t="s">
        <v>65</v>
      </c>
      <c r="C35" s="3">
        <v>14172</v>
      </c>
      <c r="D35" s="1">
        <f t="shared" si="0"/>
        <v>1</v>
      </c>
      <c r="E35" s="1">
        <v>1</v>
      </c>
    </row>
    <row r="36" spans="1:17" x14ac:dyDescent="0.25">
      <c r="A36" s="2" t="s">
        <v>81</v>
      </c>
      <c r="B36" s="1" t="s">
        <v>66</v>
      </c>
      <c r="C36" s="3">
        <v>12918</v>
      </c>
      <c r="D36" s="1">
        <f t="shared" si="0"/>
        <v>1</v>
      </c>
      <c r="E36" s="1">
        <v>1</v>
      </c>
    </row>
    <row r="37" spans="1:17" x14ac:dyDescent="0.25">
      <c r="A37" s="2" t="s">
        <v>82</v>
      </c>
      <c r="B37" s="1" t="s">
        <v>67</v>
      </c>
      <c r="C37" s="3">
        <v>20626</v>
      </c>
      <c r="D37" s="1">
        <f t="shared" si="0"/>
        <v>1</v>
      </c>
      <c r="E37" s="1">
        <v>1</v>
      </c>
    </row>
    <row r="38" spans="1:17" x14ac:dyDescent="0.25">
      <c r="A38" s="4" t="s">
        <v>83</v>
      </c>
      <c r="B38" s="1" t="s">
        <v>68</v>
      </c>
      <c r="C38" s="3">
        <v>35127</v>
      </c>
      <c r="D38" s="5">
        <f t="shared" si="0"/>
        <v>10</v>
      </c>
      <c r="E38" s="1">
        <v>1</v>
      </c>
      <c r="F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Q38" s="1">
        <v>1</v>
      </c>
    </row>
    <row r="39" spans="1:17" x14ac:dyDescent="0.25">
      <c r="A39" s="2" t="s">
        <v>84</v>
      </c>
      <c r="B39" s="1" t="s">
        <v>69</v>
      </c>
      <c r="C39" s="3">
        <v>22221</v>
      </c>
      <c r="D39" s="1">
        <f t="shared" si="0"/>
        <v>1</v>
      </c>
      <c r="E39" s="1">
        <v>1</v>
      </c>
    </row>
    <row r="40" spans="1:17" x14ac:dyDescent="0.25">
      <c r="A40" s="2" t="s">
        <v>85</v>
      </c>
      <c r="B40" s="1" t="s">
        <v>70</v>
      </c>
      <c r="C40" s="3">
        <v>20796</v>
      </c>
      <c r="D40" s="1">
        <f t="shared" si="0"/>
        <v>1</v>
      </c>
      <c r="E40" s="1">
        <v>1</v>
      </c>
    </row>
    <row r="41" spans="1:17" x14ac:dyDescent="0.25">
      <c r="A41" s="2" t="s">
        <v>86</v>
      </c>
      <c r="B41" s="1" t="s">
        <v>71</v>
      </c>
      <c r="C41" s="3">
        <v>24553</v>
      </c>
      <c r="D41" s="1">
        <f t="shared" si="0"/>
        <v>1</v>
      </c>
      <c r="E41" s="1">
        <v>1</v>
      </c>
    </row>
    <row r="42" spans="1:17" x14ac:dyDescent="0.25">
      <c r="A42" s="4" t="s">
        <v>87</v>
      </c>
      <c r="B42" s="1" t="s">
        <v>72</v>
      </c>
      <c r="C42" s="3">
        <v>38899</v>
      </c>
      <c r="D42" s="5">
        <f t="shared" si="0"/>
        <v>13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</row>
    <row r="43" spans="1:17" x14ac:dyDescent="0.25">
      <c r="A43" s="2" t="s">
        <v>88</v>
      </c>
      <c r="B43" s="1" t="s">
        <v>73</v>
      </c>
      <c r="C43" s="3">
        <v>20257</v>
      </c>
      <c r="D43" s="1">
        <f t="shared" si="0"/>
        <v>1</v>
      </c>
      <c r="E43" s="1">
        <v>1</v>
      </c>
    </row>
    <row r="44" spans="1:17" x14ac:dyDescent="0.25">
      <c r="A44" s="4" t="s">
        <v>89</v>
      </c>
      <c r="B44" s="1" t="s">
        <v>74</v>
      </c>
      <c r="C44" s="3">
        <v>35273</v>
      </c>
      <c r="D44" s="5">
        <f t="shared" si="0"/>
        <v>12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Q44" s="1">
        <v>1</v>
      </c>
    </row>
    <row r="45" spans="1:17" x14ac:dyDescent="0.25">
      <c r="A45" s="2" t="s">
        <v>90</v>
      </c>
      <c r="B45" s="1" t="s">
        <v>75</v>
      </c>
      <c r="C45" s="3">
        <v>17184</v>
      </c>
      <c r="D45" s="1">
        <f t="shared" si="0"/>
        <v>1</v>
      </c>
      <c r="E45" s="1">
        <v>1</v>
      </c>
    </row>
    <row r="46" spans="1:17" x14ac:dyDescent="0.25">
      <c r="A46" s="2" t="s">
        <v>91</v>
      </c>
      <c r="B46" s="1" t="s">
        <v>76</v>
      </c>
      <c r="C46" s="3">
        <v>27314</v>
      </c>
      <c r="D46" s="1">
        <f t="shared" si="0"/>
        <v>1</v>
      </c>
      <c r="E46" s="1">
        <v>1</v>
      </c>
    </row>
    <row r="47" spans="1:17" x14ac:dyDescent="0.25">
      <c r="A47" s="2" t="s">
        <v>92</v>
      </c>
      <c r="B47" s="1" t="s">
        <v>77</v>
      </c>
      <c r="C47" s="3">
        <v>20750</v>
      </c>
      <c r="D47" s="1">
        <f t="shared" si="0"/>
        <v>1</v>
      </c>
      <c r="E47" s="1">
        <v>1</v>
      </c>
    </row>
    <row r="48" spans="1:17" x14ac:dyDescent="0.25">
      <c r="A48" s="2" t="s">
        <v>93</v>
      </c>
      <c r="B48" s="1" t="s">
        <v>78</v>
      </c>
      <c r="C48" s="3">
        <v>24394</v>
      </c>
      <c r="D48" s="1">
        <f t="shared" si="0"/>
        <v>1</v>
      </c>
      <c r="E48" s="1">
        <v>1</v>
      </c>
    </row>
    <row r="49" spans="1:17" x14ac:dyDescent="0.25">
      <c r="A49" s="4" t="s">
        <v>103</v>
      </c>
      <c r="B49" s="1" t="s">
        <v>94</v>
      </c>
      <c r="C49" s="3">
        <v>35730</v>
      </c>
      <c r="D49" s="5">
        <f t="shared" si="0"/>
        <v>10</v>
      </c>
      <c r="E49" s="1">
        <v>1</v>
      </c>
      <c r="F49" s="1">
        <v>1</v>
      </c>
      <c r="G49" s="1">
        <v>1</v>
      </c>
      <c r="I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Q49" s="1">
        <v>1</v>
      </c>
    </row>
    <row r="50" spans="1:17" x14ac:dyDescent="0.25">
      <c r="A50" s="2" t="s">
        <v>104</v>
      </c>
      <c r="B50" s="1" t="s">
        <v>95</v>
      </c>
      <c r="C50" s="3">
        <v>16246</v>
      </c>
      <c r="D50" s="1">
        <f t="shared" si="0"/>
        <v>1</v>
      </c>
      <c r="E50" s="1">
        <v>1</v>
      </c>
    </row>
    <row r="51" spans="1:17" x14ac:dyDescent="0.25">
      <c r="A51" s="2" t="s">
        <v>105</v>
      </c>
      <c r="B51" s="1" t="s">
        <v>96</v>
      </c>
      <c r="C51" s="3">
        <v>15858</v>
      </c>
      <c r="D51" s="1">
        <f t="shared" si="0"/>
        <v>1</v>
      </c>
      <c r="E51" s="1">
        <v>1</v>
      </c>
    </row>
    <row r="52" spans="1:17" x14ac:dyDescent="0.25">
      <c r="A52" s="2" t="s">
        <v>106</v>
      </c>
      <c r="B52" s="1" t="s">
        <v>97</v>
      </c>
      <c r="C52" s="3">
        <v>16292</v>
      </c>
      <c r="D52" s="1">
        <f t="shared" si="0"/>
        <v>1</v>
      </c>
      <c r="E52" s="1">
        <v>1</v>
      </c>
    </row>
    <row r="53" spans="1:17" x14ac:dyDescent="0.25">
      <c r="A53" s="2" t="s">
        <v>107</v>
      </c>
      <c r="B53" s="1" t="s">
        <v>98</v>
      </c>
      <c r="C53" s="3">
        <v>17571</v>
      </c>
      <c r="D53" s="1">
        <f t="shared" si="0"/>
        <v>1</v>
      </c>
      <c r="E53" s="1">
        <v>1</v>
      </c>
    </row>
    <row r="54" spans="1:17" x14ac:dyDescent="0.25">
      <c r="A54" s="4" t="s">
        <v>108</v>
      </c>
      <c r="B54" s="1" t="s">
        <v>99</v>
      </c>
      <c r="C54" s="3">
        <v>54200</v>
      </c>
      <c r="D54" s="5">
        <f t="shared" si="0"/>
        <v>12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Q54" s="1">
        <v>1</v>
      </c>
    </row>
    <row r="55" spans="1:17" x14ac:dyDescent="0.25">
      <c r="A55" s="2" t="s">
        <v>109</v>
      </c>
      <c r="B55" s="1" t="s">
        <v>100</v>
      </c>
      <c r="C55" s="3">
        <v>42025</v>
      </c>
      <c r="D55" s="1">
        <f t="shared" si="0"/>
        <v>1</v>
      </c>
      <c r="E55" s="1">
        <v>1</v>
      </c>
    </row>
    <row r="56" spans="1:17" x14ac:dyDescent="0.25">
      <c r="A56" s="2" t="s">
        <v>110</v>
      </c>
      <c r="B56" s="1" t="s">
        <v>101</v>
      </c>
      <c r="C56" s="3">
        <v>36414</v>
      </c>
      <c r="D56" s="1">
        <f t="shared" si="0"/>
        <v>1</v>
      </c>
      <c r="E56" s="1">
        <v>1</v>
      </c>
    </row>
    <row r="57" spans="1:17" x14ac:dyDescent="0.25">
      <c r="A57" s="4" t="s">
        <v>111</v>
      </c>
      <c r="B57" s="1" t="s">
        <v>102</v>
      </c>
      <c r="C57" s="3">
        <v>61333</v>
      </c>
      <c r="D57" s="5">
        <f t="shared" si="0"/>
        <v>12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Q57" s="1">
        <v>1</v>
      </c>
    </row>
    <row r="58" spans="1:17" x14ac:dyDescent="0.25">
      <c r="A58" s="2" t="s">
        <v>120</v>
      </c>
      <c r="B58" s="1" t="s">
        <v>112</v>
      </c>
      <c r="C58" s="3">
        <v>14346</v>
      </c>
      <c r="D58" s="1">
        <f t="shared" si="0"/>
        <v>1</v>
      </c>
      <c r="E58" s="1">
        <v>1</v>
      </c>
    </row>
    <row r="59" spans="1:17" x14ac:dyDescent="0.25">
      <c r="A59" s="2" t="s">
        <v>121</v>
      </c>
      <c r="B59" s="1" t="s">
        <v>113</v>
      </c>
      <c r="C59" s="3">
        <v>10081</v>
      </c>
      <c r="D59" s="1">
        <f t="shared" si="0"/>
        <v>1</v>
      </c>
      <c r="E59" s="1">
        <v>1</v>
      </c>
    </row>
    <row r="60" spans="1:17" x14ac:dyDescent="0.25">
      <c r="A60" s="2" t="s">
        <v>122</v>
      </c>
      <c r="B60" s="1" t="s">
        <v>114</v>
      </c>
      <c r="C60" s="3">
        <v>15826</v>
      </c>
      <c r="D60" s="1">
        <f t="shared" si="0"/>
        <v>1</v>
      </c>
      <c r="E60" s="1">
        <v>1</v>
      </c>
    </row>
    <row r="61" spans="1:17" x14ac:dyDescent="0.25">
      <c r="A61" s="4" t="s">
        <v>123</v>
      </c>
      <c r="B61" s="1" t="s">
        <v>115</v>
      </c>
      <c r="C61" s="3">
        <v>46677</v>
      </c>
      <c r="D61" s="5">
        <f t="shared" si="0"/>
        <v>12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Q61" s="1">
        <v>1</v>
      </c>
    </row>
    <row r="62" spans="1:17" x14ac:dyDescent="0.25">
      <c r="A62" s="2" t="s">
        <v>124</v>
      </c>
      <c r="B62" s="1" t="s">
        <v>116</v>
      </c>
      <c r="C62" s="3">
        <v>15240</v>
      </c>
      <c r="D62" s="1">
        <f t="shared" si="0"/>
        <v>1</v>
      </c>
      <c r="E62" s="1">
        <v>1</v>
      </c>
    </row>
    <row r="63" spans="1:17" x14ac:dyDescent="0.25">
      <c r="A63" s="4" t="s">
        <v>126</v>
      </c>
      <c r="B63" s="1" t="s">
        <v>118</v>
      </c>
      <c r="C63" s="3">
        <v>49381</v>
      </c>
      <c r="D63" s="5">
        <f t="shared" si="0"/>
        <v>11</v>
      </c>
      <c r="E63" s="1">
        <v>1</v>
      </c>
      <c r="F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Q63" s="1">
        <v>1</v>
      </c>
    </row>
    <row r="64" spans="1:17" x14ac:dyDescent="0.25">
      <c r="A64" s="4" t="s">
        <v>127</v>
      </c>
      <c r="B64" s="1" t="s">
        <v>119</v>
      </c>
      <c r="C64" s="3">
        <v>56838</v>
      </c>
      <c r="D64" s="5">
        <f t="shared" si="0"/>
        <v>11</v>
      </c>
      <c r="E64" s="1">
        <v>1</v>
      </c>
      <c r="F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Q64" s="1">
        <v>1</v>
      </c>
    </row>
    <row r="65" spans="1:17" x14ac:dyDescent="0.25">
      <c r="A65" s="2" t="s">
        <v>125</v>
      </c>
      <c r="B65" s="1" t="s">
        <v>117</v>
      </c>
      <c r="C65" s="3">
        <v>22138</v>
      </c>
      <c r="D65" s="1">
        <f t="shared" si="0"/>
        <v>1</v>
      </c>
      <c r="E65" s="1">
        <v>1</v>
      </c>
    </row>
    <row r="66" spans="1:17" x14ac:dyDescent="0.25">
      <c r="A66" s="4" t="s">
        <v>138</v>
      </c>
      <c r="B66" s="1" t="s">
        <v>128</v>
      </c>
      <c r="C66" s="3">
        <v>49367</v>
      </c>
      <c r="D66" s="5">
        <f t="shared" si="0"/>
        <v>9</v>
      </c>
      <c r="E66" s="1">
        <v>1</v>
      </c>
      <c r="F66" s="1">
        <v>1</v>
      </c>
      <c r="I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Q66" s="1">
        <v>1</v>
      </c>
    </row>
    <row r="67" spans="1:17" x14ac:dyDescent="0.25">
      <c r="A67" s="2" t="s">
        <v>139</v>
      </c>
      <c r="B67" s="1" t="s">
        <v>129</v>
      </c>
      <c r="C67" s="3">
        <v>10394</v>
      </c>
      <c r="D67" s="1">
        <f t="shared" ref="D67:D90" si="1">SUM(E67:R67)</f>
        <v>1</v>
      </c>
      <c r="E67" s="1">
        <v>1</v>
      </c>
    </row>
    <row r="68" spans="1:17" x14ac:dyDescent="0.25">
      <c r="A68" s="4" t="s">
        <v>140</v>
      </c>
      <c r="B68" s="1" t="s">
        <v>130</v>
      </c>
      <c r="C68" s="3">
        <v>44465</v>
      </c>
      <c r="D68" s="5">
        <f t="shared" si="1"/>
        <v>12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Q68" s="1">
        <v>1</v>
      </c>
    </row>
    <row r="69" spans="1:17" x14ac:dyDescent="0.25">
      <c r="A69" s="4" t="s">
        <v>141</v>
      </c>
      <c r="B69" s="1" t="s">
        <v>131</v>
      </c>
      <c r="C69" s="3">
        <v>25129</v>
      </c>
      <c r="D69" s="5">
        <f t="shared" si="1"/>
        <v>11</v>
      </c>
      <c r="E69" s="1">
        <v>1</v>
      </c>
      <c r="F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Q69" s="1">
        <v>1</v>
      </c>
    </row>
    <row r="70" spans="1:17" x14ac:dyDescent="0.25">
      <c r="A70" s="4" t="s">
        <v>142</v>
      </c>
      <c r="B70" s="1" t="s">
        <v>132</v>
      </c>
      <c r="C70" s="3">
        <v>54481</v>
      </c>
      <c r="D70" s="5">
        <f t="shared" si="1"/>
        <v>10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K70" s="1">
        <v>1</v>
      </c>
      <c r="L70" s="1">
        <v>1</v>
      </c>
      <c r="M70" s="1">
        <v>1</v>
      </c>
      <c r="N70" s="1">
        <v>1</v>
      </c>
      <c r="Q70" s="1">
        <v>1</v>
      </c>
    </row>
    <row r="71" spans="1:17" x14ac:dyDescent="0.25">
      <c r="A71" s="4" t="s">
        <v>143</v>
      </c>
      <c r="B71" s="1" t="s">
        <v>133</v>
      </c>
      <c r="C71" s="3">
        <v>67796</v>
      </c>
      <c r="D71" s="5">
        <f t="shared" si="1"/>
        <v>9</v>
      </c>
      <c r="E71" s="1">
        <v>1</v>
      </c>
      <c r="F71" s="1">
        <v>1</v>
      </c>
      <c r="G71" s="1">
        <v>1</v>
      </c>
      <c r="I71" s="1">
        <v>1</v>
      </c>
      <c r="K71" s="1">
        <v>1</v>
      </c>
      <c r="L71" s="1">
        <v>1</v>
      </c>
      <c r="M71" s="1">
        <v>1</v>
      </c>
      <c r="N71" s="1">
        <v>1</v>
      </c>
      <c r="Q71" s="1">
        <v>1</v>
      </c>
    </row>
    <row r="72" spans="1:17" x14ac:dyDescent="0.25">
      <c r="A72" s="2" t="s">
        <v>144</v>
      </c>
      <c r="B72" s="1" t="s">
        <v>134</v>
      </c>
      <c r="C72" s="3">
        <v>20267</v>
      </c>
      <c r="D72" s="1">
        <f t="shared" si="1"/>
        <v>1</v>
      </c>
      <c r="E72" s="1">
        <v>1</v>
      </c>
    </row>
    <row r="73" spans="1:17" x14ac:dyDescent="0.25">
      <c r="A73" s="4" t="s">
        <v>145</v>
      </c>
      <c r="B73" s="1" t="s">
        <v>135</v>
      </c>
      <c r="C73" s="3">
        <v>49399</v>
      </c>
      <c r="D73" s="5">
        <f t="shared" si="1"/>
        <v>12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Q73" s="1">
        <v>1</v>
      </c>
    </row>
    <row r="74" spans="1:17" x14ac:dyDescent="0.25">
      <c r="A74" s="2" t="s">
        <v>146</v>
      </c>
      <c r="B74" s="1" t="s">
        <v>136</v>
      </c>
      <c r="C74" s="3">
        <v>12777</v>
      </c>
      <c r="D74" s="1">
        <f t="shared" si="1"/>
        <v>1</v>
      </c>
      <c r="E74" s="1">
        <v>1</v>
      </c>
    </row>
    <row r="75" spans="1:17" x14ac:dyDescent="0.25">
      <c r="A75" s="2" t="s">
        <v>147</v>
      </c>
      <c r="B75" s="1" t="s">
        <v>137</v>
      </c>
      <c r="C75" s="3">
        <v>11866</v>
      </c>
      <c r="D75" s="1">
        <f t="shared" si="1"/>
        <v>1</v>
      </c>
      <c r="E75" s="1">
        <v>1</v>
      </c>
    </row>
    <row r="76" spans="1:17" x14ac:dyDescent="0.25">
      <c r="A76" s="2" t="s">
        <v>153</v>
      </c>
      <c r="B76" s="1" t="s">
        <v>148</v>
      </c>
      <c r="C76" s="3">
        <v>14227</v>
      </c>
      <c r="D76" s="1">
        <f t="shared" si="1"/>
        <v>1</v>
      </c>
      <c r="E76" s="1">
        <v>1</v>
      </c>
    </row>
    <row r="77" spans="1:17" x14ac:dyDescent="0.25">
      <c r="A77" s="2" t="s">
        <v>154</v>
      </c>
      <c r="B77" s="1" t="s">
        <v>149</v>
      </c>
      <c r="C77" s="3">
        <v>21096</v>
      </c>
      <c r="D77" s="1">
        <f t="shared" si="1"/>
        <v>1</v>
      </c>
      <c r="E77" s="1">
        <v>1</v>
      </c>
    </row>
    <row r="78" spans="1:17" x14ac:dyDescent="0.25">
      <c r="A78" s="4" t="s">
        <v>155</v>
      </c>
      <c r="B78" s="1" t="s">
        <v>150</v>
      </c>
      <c r="C78" s="3">
        <v>82974</v>
      </c>
      <c r="D78" s="5">
        <f t="shared" si="1"/>
        <v>10</v>
      </c>
      <c r="E78" s="1">
        <v>1</v>
      </c>
      <c r="F78" s="1">
        <v>1</v>
      </c>
      <c r="G78" s="1">
        <v>1</v>
      </c>
      <c r="I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Q78" s="1">
        <v>1</v>
      </c>
    </row>
    <row r="79" spans="1:17" x14ac:dyDescent="0.25">
      <c r="A79" s="4" t="s">
        <v>156</v>
      </c>
      <c r="B79" s="1" t="s">
        <v>151</v>
      </c>
      <c r="C79" s="3">
        <v>75856</v>
      </c>
      <c r="D79" s="5">
        <f t="shared" si="1"/>
        <v>11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Q79" s="1">
        <v>1</v>
      </c>
    </row>
    <row r="80" spans="1:17" x14ac:dyDescent="0.25">
      <c r="A80" s="2" t="s">
        <v>157</v>
      </c>
      <c r="B80" s="1" t="s">
        <v>152</v>
      </c>
      <c r="C80" s="3">
        <v>21456</v>
      </c>
      <c r="D80" s="1">
        <f t="shared" si="1"/>
        <v>1</v>
      </c>
      <c r="E80" s="1">
        <v>1</v>
      </c>
    </row>
    <row r="81" spans="1:17" x14ac:dyDescent="0.25">
      <c r="A81" s="4" t="s">
        <v>162</v>
      </c>
      <c r="B81" s="1" t="s">
        <v>161</v>
      </c>
      <c r="C81" s="3">
        <v>48604</v>
      </c>
      <c r="D81" s="5">
        <f t="shared" si="1"/>
        <v>9</v>
      </c>
      <c r="E81" s="1">
        <v>1</v>
      </c>
      <c r="F81" s="1">
        <v>1</v>
      </c>
      <c r="H81" s="1">
        <v>1</v>
      </c>
      <c r="I81" s="1">
        <v>1</v>
      </c>
      <c r="K81" s="1">
        <v>1</v>
      </c>
      <c r="L81" s="1">
        <v>1</v>
      </c>
      <c r="N81" s="1">
        <v>1</v>
      </c>
      <c r="O81" s="1">
        <v>1</v>
      </c>
      <c r="Q81" s="1">
        <v>1</v>
      </c>
    </row>
    <row r="82" spans="1:17" x14ac:dyDescent="0.25">
      <c r="A82" s="4" t="s">
        <v>172</v>
      </c>
      <c r="B82" s="1" t="s">
        <v>163</v>
      </c>
      <c r="C82" s="3">
        <v>51357</v>
      </c>
      <c r="D82" s="5">
        <f t="shared" si="1"/>
        <v>7</v>
      </c>
      <c r="E82" s="1">
        <v>1</v>
      </c>
      <c r="F82" s="1">
        <v>1</v>
      </c>
      <c r="H82" s="1">
        <v>1</v>
      </c>
      <c r="L82" s="1">
        <v>1</v>
      </c>
      <c r="N82" s="1">
        <v>1</v>
      </c>
      <c r="O82" s="1">
        <v>1</v>
      </c>
      <c r="Q82" s="1">
        <v>1</v>
      </c>
    </row>
    <row r="83" spans="1:17" x14ac:dyDescent="0.25">
      <c r="A83" s="2" t="s">
        <v>173</v>
      </c>
      <c r="B83" s="1" t="s">
        <v>164</v>
      </c>
      <c r="C83" s="3">
        <v>31246</v>
      </c>
      <c r="D83" s="1">
        <f t="shared" si="1"/>
        <v>1</v>
      </c>
      <c r="E83" s="1">
        <v>1</v>
      </c>
    </row>
    <row r="84" spans="1:17" x14ac:dyDescent="0.25">
      <c r="A84" s="2" t="s">
        <v>174</v>
      </c>
      <c r="B84" s="1" t="s">
        <v>165</v>
      </c>
      <c r="C84" s="3">
        <v>13352</v>
      </c>
      <c r="D84" s="1">
        <f t="shared" si="1"/>
        <v>1</v>
      </c>
      <c r="E84" s="1">
        <v>1</v>
      </c>
    </row>
    <row r="85" spans="1:17" x14ac:dyDescent="0.25">
      <c r="A85" s="4" t="s">
        <v>175</v>
      </c>
      <c r="B85" s="1" t="s">
        <v>166</v>
      </c>
      <c r="C85" s="3">
        <v>36103</v>
      </c>
      <c r="D85" s="5">
        <f t="shared" si="1"/>
        <v>9</v>
      </c>
      <c r="E85" s="1">
        <v>1</v>
      </c>
      <c r="F85" s="1">
        <v>1</v>
      </c>
      <c r="I85" s="1">
        <v>1</v>
      </c>
      <c r="K85" s="1">
        <v>1</v>
      </c>
      <c r="L85" s="1">
        <v>1</v>
      </c>
      <c r="N85" s="1">
        <v>1</v>
      </c>
      <c r="O85" s="1">
        <v>1</v>
      </c>
      <c r="P85" s="1">
        <v>1</v>
      </c>
      <c r="Q85" s="1">
        <v>1</v>
      </c>
    </row>
    <row r="86" spans="1:17" x14ac:dyDescent="0.25">
      <c r="A86" s="4" t="s">
        <v>176</v>
      </c>
      <c r="B86" s="1" t="s">
        <v>167</v>
      </c>
      <c r="C86" s="3">
        <v>43982</v>
      </c>
      <c r="D86" s="5">
        <f t="shared" si="1"/>
        <v>10</v>
      </c>
      <c r="E86" s="1">
        <v>1</v>
      </c>
      <c r="F86" s="1">
        <v>1</v>
      </c>
      <c r="H86" s="1">
        <v>1</v>
      </c>
      <c r="I86" s="1">
        <v>1</v>
      </c>
      <c r="K86" s="1">
        <v>1</v>
      </c>
      <c r="L86" s="1">
        <v>1</v>
      </c>
      <c r="N86" s="1">
        <v>1</v>
      </c>
      <c r="O86" s="1">
        <v>1</v>
      </c>
      <c r="P86" s="1">
        <v>1</v>
      </c>
      <c r="Q86" s="1">
        <v>1</v>
      </c>
    </row>
    <row r="87" spans="1:17" x14ac:dyDescent="0.25">
      <c r="A87" s="2" t="s">
        <v>177</v>
      </c>
      <c r="B87" s="1" t="s">
        <v>168</v>
      </c>
      <c r="C87" s="3">
        <v>9960</v>
      </c>
      <c r="D87" s="1">
        <f t="shared" si="1"/>
        <v>1</v>
      </c>
      <c r="E87" s="1">
        <v>1</v>
      </c>
    </row>
    <row r="88" spans="1:17" x14ac:dyDescent="0.25">
      <c r="A88" s="4" t="s">
        <v>178</v>
      </c>
      <c r="B88" s="1" t="s">
        <v>169</v>
      </c>
      <c r="C88" s="3">
        <v>36398</v>
      </c>
      <c r="D88" s="5">
        <f t="shared" si="1"/>
        <v>11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Q88" s="1">
        <v>1</v>
      </c>
    </row>
    <row r="89" spans="1:17" x14ac:dyDescent="0.25">
      <c r="A89" s="4" t="s">
        <v>179</v>
      </c>
      <c r="B89" s="1" t="s">
        <v>170</v>
      </c>
      <c r="C89" s="3">
        <v>22672</v>
      </c>
      <c r="D89" s="5">
        <f t="shared" si="1"/>
        <v>9</v>
      </c>
      <c r="E89" s="1">
        <v>1</v>
      </c>
      <c r="F89" s="1">
        <v>1</v>
      </c>
      <c r="H89" s="1">
        <v>1</v>
      </c>
      <c r="I89" s="1">
        <v>1</v>
      </c>
      <c r="K89" s="1">
        <v>1</v>
      </c>
      <c r="L89" s="1">
        <v>1</v>
      </c>
      <c r="N89" s="1">
        <v>1</v>
      </c>
      <c r="O89" s="1">
        <v>1</v>
      </c>
      <c r="P89" s="1">
        <v>1</v>
      </c>
    </row>
    <row r="90" spans="1:17" x14ac:dyDescent="0.25">
      <c r="A90" s="4" t="s">
        <v>180</v>
      </c>
      <c r="B90" s="1" t="s">
        <v>171</v>
      </c>
      <c r="C90" s="3">
        <v>20687</v>
      </c>
      <c r="D90" s="5">
        <f t="shared" si="1"/>
        <v>11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Q90" s="1">
        <v>1</v>
      </c>
    </row>
  </sheetData>
  <phoneticPr fontId="1" type="noConversion"/>
  <hyperlinks>
    <hyperlink ref="A34" r:id="rId1" display="http://www.nownews.com/n/2015/05/05/1684309"/>
    <hyperlink ref="A35" r:id="rId2" display="http://www.nownews.com/n/2015/05/06/1684323"/>
    <hyperlink ref="A36" r:id="rId3" display="http://www.nownews.com/n/2015/05/07/1684372"/>
    <hyperlink ref="A37" r:id="rId4" display="http://www.nownews.com/n/2015/05/07/1686855"/>
    <hyperlink ref="A38" r:id="rId5" display="http://www.nownews.com/n/2015/05/12/1690030"/>
    <hyperlink ref="A39" r:id="rId6" display="http://www.nownews.com/n/2015/05/14/1684704"/>
    <hyperlink ref="A40" r:id="rId7" display="http://www.nownews.com/n/2015/05/18/1693931"/>
    <hyperlink ref="A41" r:id="rId8" display="http://www.nownews.com/n/2015/05/19/1684720"/>
    <hyperlink ref="A42" r:id="rId9" display="http://www.nownews.com/n/2015/05/21/1698692"/>
    <hyperlink ref="A43" r:id="rId10" display="http://www.nownews.com/n/2015/05/25/1700026"/>
    <hyperlink ref="A44" r:id="rId11" display="http://www.nownews.com/n/2015/05/25/1701653"/>
    <hyperlink ref="A45" r:id="rId12" display="http://www.nownews.com/n/2015/05/27/1700046"/>
    <hyperlink ref="A46" r:id="rId13" display="http://www.nownews.com/n/2015/06/04/1709642"/>
    <hyperlink ref="A47" r:id="rId14" display="http://www.nownews.com/n/2015/06/09/1713917"/>
    <hyperlink ref="A48" r:id="rId15" display="http://www.nownews.com/n/2015/06/10/1713925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李羽</dc:creator>
  <cp:lastModifiedBy>Paul29</cp:lastModifiedBy>
  <dcterms:created xsi:type="dcterms:W3CDTF">2014-10-23T03:00:43Z</dcterms:created>
  <dcterms:modified xsi:type="dcterms:W3CDTF">2015-12-25T05:33:24Z</dcterms:modified>
</cp:coreProperties>
</file>